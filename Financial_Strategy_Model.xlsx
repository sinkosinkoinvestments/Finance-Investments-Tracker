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Automated_Data" sheetId="2" state="visible" r:id="rId2"/>
    <sheet xmlns:r="http://schemas.openxmlformats.org/officeDocument/2006/relationships" name="Proj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Current Year</t>
        </is>
      </c>
      <c r="B2" t="n">
        <v>2026</v>
      </c>
      <c r="C2" t="inlineStr"/>
    </row>
    <row r="3">
      <c r="A3" t="inlineStr">
        <is>
          <t>Starting Age</t>
        </is>
      </c>
      <c r="B3" t="n">
        <v>43</v>
      </c>
      <c r="C3" t="inlineStr"/>
    </row>
    <row r="4">
      <c r="A4" t="inlineStr">
        <is>
          <t>Target Retirement Age</t>
        </is>
      </c>
      <c r="B4" t="n">
        <v>60</v>
      </c>
      <c r="C4" t="inlineStr"/>
    </row>
    <row r="5">
      <c r="A5" t="inlineStr">
        <is>
          <t>Combined Income</t>
        </is>
      </c>
      <c r="B5" t="n">
        <v>494000</v>
      </c>
      <c r="C5" t="inlineStr">
        <is>
          <t>Gross including super</t>
        </is>
      </c>
    </row>
    <row r="6">
      <c r="A6" t="inlineStr">
        <is>
          <t>Living Expenses</t>
        </is>
      </c>
      <c r="B6" t="n">
        <v>150000</v>
      </c>
      <c r="C6" t="inlineStr">
        <is>
          <t>Annual</t>
        </is>
      </c>
    </row>
    <row r="7">
      <c r="A7" t="inlineStr">
        <is>
          <t>Cooroy Purchase Price</t>
        </is>
      </c>
      <c r="B7" t="n">
        <v>2500000</v>
      </c>
      <c r="C7" t="inlineStr"/>
    </row>
    <row r="8">
      <c r="A8" t="inlineStr">
        <is>
          <t>Wishart Loan Balance</t>
        </is>
      </c>
      <c r="B8" t="n">
        <v>560000</v>
      </c>
      <c r="C8" t="inlineStr">
        <is>
          <t>Starting balance</t>
        </is>
      </c>
    </row>
    <row r="9">
      <c r="A9" t="inlineStr">
        <is>
          <t>Bank Margin (Loans)</t>
        </is>
      </c>
      <c r="B9" t="n">
        <v>0.02</v>
      </c>
      <c r="C9" t="inlineStr">
        <is>
          <t>Added to RBA 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Ticker/Source</t>
        </is>
      </c>
      <c r="C1" t="inlineStr">
        <is>
          <t>Value</t>
        </is>
      </c>
      <c r="D1" t="inlineStr">
        <is>
          <t>Last Updated</t>
        </is>
      </c>
    </row>
    <row r="2">
      <c r="A2" t="inlineStr">
        <is>
          <t>RBA Cash Rate</t>
        </is>
      </c>
      <c r="B2" t="inlineStr">
        <is>
          <t>RBA API</t>
        </is>
      </c>
      <c r="C2" t="n">
        <v>0.0435</v>
      </c>
      <c r="D2" t="inlineStr">
        <is>
          <t>2026-06-27</t>
        </is>
      </c>
    </row>
    <row r="3">
      <c r="A3" t="inlineStr">
        <is>
          <t>VTS Price</t>
        </is>
      </c>
      <c r="B3" t="inlineStr">
        <is>
          <t>ASX:VTS</t>
        </is>
      </c>
      <c r="C3">
        <f>GOOGLEFINANCE("ASX:VTS", "price")</f>
        <v/>
      </c>
      <c r="D3" t="inlineStr">
        <is>
          <t>Automated via Google</t>
        </is>
      </c>
    </row>
    <row r="4">
      <c r="A4" t="inlineStr">
        <is>
          <t>NDQ Price</t>
        </is>
      </c>
      <c r="B4" t="inlineStr">
        <is>
          <t>ASX:NDQ</t>
        </is>
      </c>
      <c r="C4">
        <f>GOOGLEFINANCE("ASX:NDQ", "price")</f>
        <v/>
      </c>
      <c r="D4" t="inlineStr">
        <is>
          <t>Automated via Google</t>
        </is>
      </c>
    </row>
    <row r="5">
      <c r="A5" t="inlineStr">
        <is>
          <t>VGS Price</t>
        </is>
      </c>
      <c r="B5" t="inlineStr">
        <is>
          <t>ASX:VGS</t>
        </is>
      </c>
      <c r="C5">
        <f>GOOGLEFINANCE("ASX:VGS", "price")</f>
        <v/>
      </c>
      <c r="D5" t="inlineStr">
        <is>
          <t>Automated via Google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Date</t>
        </is>
      </c>
      <c r="C1" t="inlineStr">
        <is>
          <t>Age</t>
        </is>
      </c>
      <c r="D1" t="inlineStr">
        <is>
          <t>Wishart Loan</t>
        </is>
      </c>
      <c r="E1" t="inlineStr">
        <is>
          <t>Cooroy Loan</t>
        </is>
      </c>
      <c r="F1" t="inlineStr">
        <is>
          <t>ETF Portfolio</t>
        </is>
      </c>
      <c r="G1" t="inlineStr">
        <is>
          <t>Superannuation</t>
        </is>
      </c>
      <c r="H1" t="inlineStr">
        <is>
          <t>Net Worth</t>
        </is>
      </c>
    </row>
    <row r="2">
      <c r="A2">
        <f>Inputs!B2+0</f>
        <v/>
      </c>
      <c r="B2" t="inlineStr">
        <is>
          <t>01/01/2026</t>
        </is>
      </c>
      <c r="C2">
        <f>Inputs!B3+0</f>
        <v/>
      </c>
      <c r="D2">
        <f>MAX(Inputs!B8-(0*35000), 0)</f>
        <v/>
      </c>
      <c r="E2">
        <f>Inputs!B7*0.8</f>
        <v/>
      </c>
      <c r="F2">
        <f>0*30000</f>
        <v/>
      </c>
      <c r="G2">
        <f>800000+(0*45000)</f>
        <v/>
      </c>
      <c r="H2">
        <f>((Inputs!B7*1.03^0) + (1700000*1.03^0) + (0*30000) + (800000+(0*45000))) - (MAX(Inputs!B8-(0*35000), 0) + (Inputs!B7*0.8))</f>
        <v/>
      </c>
    </row>
    <row r="3">
      <c r="A3">
        <f>Inputs!B2+1</f>
        <v/>
      </c>
      <c r="B3" t="inlineStr">
        <is>
          <t>01/01/2027</t>
        </is>
      </c>
      <c r="C3">
        <f>Inputs!B3+1</f>
        <v/>
      </c>
      <c r="D3">
        <f>MAX(Inputs!B8-(1*35000), 0)</f>
        <v/>
      </c>
      <c r="E3">
        <f>Inputs!B7*0.8</f>
        <v/>
      </c>
      <c r="F3">
        <f>1*30000</f>
        <v/>
      </c>
      <c r="G3">
        <f>800000+(1*45000)</f>
        <v/>
      </c>
      <c r="H3">
        <f>((Inputs!B7*1.03^1) + (1700000*1.03^1) + (1*30000) + (800000+(1*45000))) - (MAX(Inputs!B8-(1*35000), 0) + (Inputs!B7*0.8))</f>
        <v/>
      </c>
    </row>
    <row r="4">
      <c r="A4">
        <f>Inputs!B2+2</f>
        <v/>
      </c>
      <c r="B4" t="inlineStr">
        <is>
          <t>01/01/2028</t>
        </is>
      </c>
      <c r="C4">
        <f>Inputs!B3+2</f>
        <v/>
      </c>
      <c r="D4">
        <f>MAX(Inputs!B8-(2*35000), 0)</f>
        <v/>
      </c>
      <c r="E4">
        <f>Inputs!B7*0.8</f>
        <v/>
      </c>
      <c r="F4">
        <f>2*30000</f>
        <v/>
      </c>
      <c r="G4">
        <f>800000+(2*45000)</f>
        <v/>
      </c>
      <c r="H4">
        <f>((Inputs!B7*1.03^2) + (1700000*1.03^2) + (2*30000) + (800000+(2*45000))) - (MAX(Inputs!B8-(2*35000), 0) + (Inputs!B7*0.8))</f>
        <v/>
      </c>
    </row>
    <row r="5">
      <c r="A5">
        <f>Inputs!B2+3</f>
        <v/>
      </c>
      <c r="B5" t="inlineStr">
        <is>
          <t>01/01/2029</t>
        </is>
      </c>
      <c r="C5">
        <f>Inputs!B3+3</f>
        <v/>
      </c>
      <c r="D5">
        <f>MAX(Inputs!B8-(3*35000), 0)</f>
        <v/>
      </c>
      <c r="E5">
        <f>Inputs!B7*0.8</f>
        <v/>
      </c>
      <c r="F5">
        <f>3*30000</f>
        <v/>
      </c>
      <c r="G5">
        <f>800000+(3*45000)</f>
        <v/>
      </c>
      <c r="H5">
        <f>((Inputs!B7*1.03^3) + (1700000*1.03^3) + (3*30000) + (800000+(3*45000))) - (MAX(Inputs!B8-(3*35000), 0) + (Inputs!B7*0.8))</f>
        <v/>
      </c>
    </row>
    <row r="6">
      <c r="A6">
        <f>Inputs!B2+4</f>
        <v/>
      </c>
      <c r="B6" t="inlineStr">
        <is>
          <t>01/01/2030</t>
        </is>
      </c>
      <c r="C6">
        <f>Inputs!B3+4</f>
        <v/>
      </c>
      <c r="D6">
        <f>MAX(Inputs!B8-(4*35000), 0)</f>
        <v/>
      </c>
      <c r="E6">
        <f>Inputs!B7*0.8</f>
        <v/>
      </c>
      <c r="F6">
        <f>4*30000</f>
        <v/>
      </c>
      <c r="G6">
        <f>800000+(4*45000)</f>
        <v/>
      </c>
      <c r="H6">
        <f>((Inputs!B7*1.03^4) + (1700000*1.03^4) + (4*30000) + (800000+(4*45000))) - (MAX(Inputs!B8-(4*35000), 0) + (Inputs!B7*0.8))</f>
        <v/>
      </c>
    </row>
    <row r="7">
      <c r="A7">
        <f>Inputs!B2+5</f>
        <v/>
      </c>
      <c r="B7" t="inlineStr">
        <is>
          <t>01/01/2031</t>
        </is>
      </c>
      <c r="C7">
        <f>Inputs!B3+5</f>
        <v/>
      </c>
      <c r="D7">
        <f>MAX(Inputs!B8-(5*35000), 0)</f>
        <v/>
      </c>
      <c r="E7">
        <f>Inputs!B7*0.8</f>
        <v/>
      </c>
      <c r="F7">
        <f>5*30000</f>
        <v/>
      </c>
      <c r="G7">
        <f>800000+(5*45000)</f>
        <v/>
      </c>
      <c r="H7">
        <f>((Inputs!B7*1.03^5) + (1700000*1.03^5) + (5*30000) + (800000+(5*45000))) - (MAX(Inputs!B8-(5*35000), 0) + (Inputs!B7*0.8))</f>
        <v/>
      </c>
    </row>
    <row r="8">
      <c r="A8">
        <f>Inputs!B2+6</f>
        <v/>
      </c>
      <c r="B8" t="inlineStr">
        <is>
          <t>01/01/2032</t>
        </is>
      </c>
      <c r="C8">
        <f>Inputs!B3+6</f>
        <v/>
      </c>
      <c r="D8">
        <f>MAX(Inputs!B8-(6*35000), 0)</f>
        <v/>
      </c>
      <c r="E8">
        <f>Inputs!B7*0.8</f>
        <v/>
      </c>
      <c r="F8">
        <f>6*30000</f>
        <v/>
      </c>
      <c r="G8">
        <f>800000+(6*45000)</f>
        <v/>
      </c>
      <c r="H8">
        <f>((Inputs!B7*1.03^6) + (1700000*1.03^6) + (6*30000) + (800000+(6*45000))) - (MAX(Inputs!B8-(6*35000), 0) + (Inputs!B7*0.8))</f>
        <v/>
      </c>
    </row>
    <row r="9">
      <c r="A9">
        <f>Inputs!B2+7</f>
        <v/>
      </c>
      <c r="B9" t="inlineStr">
        <is>
          <t>01/01/2033</t>
        </is>
      </c>
      <c r="C9">
        <f>Inputs!B3+7</f>
        <v/>
      </c>
      <c r="D9">
        <f>MAX(Inputs!B8-(7*35000), 0)</f>
        <v/>
      </c>
      <c r="E9">
        <f>Inputs!B7*0.8</f>
        <v/>
      </c>
      <c r="F9">
        <f>7*30000</f>
        <v/>
      </c>
      <c r="G9">
        <f>800000+(7*45000)</f>
        <v/>
      </c>
      <c r="H9">
        <f>((Inputs!B7*1.03^7) + (1700000*1.03^7) + (7*30000) + (800000+(7*45000))) - (MAX(Inputs!B8-(7*35000), 0) + (Inputs!B7*0.8))</f>
        <v/>
      </c>
    </row>
    <row r="10">
      <c r="A10">
        <f>Inputs!B2+8</f>
        <v/>
      </c>
      <c r="B10" t="inlineStr">
        <is>
          <t>01/01/2034</t>
        </is>
      </c>
      <c r="C10">
        <f>Inputs!B3+8</f>
        <v/>
      </c>
      <c r="D10">
        <f>MAX(Inputs!B8-(8*35000), 0)</f>
        <v/>
      </c>
      <c r="E10">
        <f>Inputs!B7*0.8</f>
        <v/>
      </c>
      <c r="F10">
        <f>8*30000</f>
        <v/>
      </c>
      <c r="G10">
        <f>800000+(8*45000)</f>
        <v/>
      </c>
      <c r="H10">
        <f>((Inputs!B7*1.03^8) + (1700000*1.03^8) + (8*30000) + (800000+(8*45000))) - (MAX(Inputs!B8-(8*35000), 0) + (Inputs!B7*0.8))</f>
        <v/>
      </c>
    </row>
    <row r="11">
      <c r="A11">
        <f>Inputs!B2+9</f>
        <v/>
      </c>
      <c r="B11" t="inlineStr">
        <is>
          <t>01/01/2035</t>
        </is>
      </c>
      <c r="C11">
        <f>Inputs!B3+9</f>
        <v/>
      </c>
      <c r="D11">
        <f>MAX(Inputs!B8-(9*35000), 0)</f>
        <v/>
      </c>
      <c r="E11">
        <f>Inputs!B7*0.8</f>
        <v/>
      </c>
      <c r="F11">
        <f>9*30000</f>
        <v/>
      </c>
      <c r="G11">
        <f>800000+(9*45000)</f>
        <v/>
      </c>
      <c r="H11">
        <f>((Inputs!B7*1.03^9) + (1700000*1.03^9) + (9*30000) + (800000+(9*45000))) - (MAX(Inputs!B8-(9*35000), 0) + (Inputs!B7*0.8))</f>
        <v/>
      </c>
    </row>
    <row r="12">
      <c r="A12">
        <f>Inputs!B2+10</f>
        <v/>
      </c>
      <c r="B12" t="inlineStr">
        <is>
          <t>01/01/2036</t>
        </is>
      </c>
      <c r="C12">
        <f>Inputs!B3+10</f>
        <v/>
      </c>
      <c r="D12">
        <f>MAX(Inputs!B8-(10*35000), 0)</f>
        <v/>
      </c>
      <c r="E12">
        <f>Inputs!B7*0.8</f>
        <v/>
      </c>
      <c r="F12">
        <f>10*30000</f>
        <v/>
      </c>
      <c r="G12">
        <f>800000+(10*45000)</f>
        <v/>
      </c>
      <c r="H12">
        <f>((Inputs!B7*1.03^10) + (1700000*1.03^10) + (10*30000) + (800000+(10*45000))) - (MAX(Inputs!B8-(10*35000), 0) + (Inputs!B7*0.8))</f>
        <v/>
      </c>
    </row>
    <row r="13">
      <c r="A13">
        <f>Inputs!B2+11</f>
        <v/>
      </c>
      <c r="B13" t="inlineStr">
        <is>
          <t>01/01/2037</t>
        </is>
      </c>
      <c r="C13">
        <f>Inputs!B3+11</f>
        <v/>
      </c>
      <c r="D13">
        <f>MAX(Inputs!B8-(11*35000), 0)</f>
        <v/>
      </c>
      <c r="E13">
        <f>Inputs!B7*0.8</f>
        <v/>
      </c>
      <c r="F13">
        <f>11*30000</f>
        <v/>
      </c>
      <c r="G13">
        <f>800000+(11*45000)</f>
        <v/>
      </c>
      <c r="H13">
        <f>((Inputs!B7*1.03^11) + (1700000*1.03^11) + (11*30000) + (800000+(11*45000))) - (MAX(Inputs!B8-(11*35000), 0) + (Inputs!B7*0.8))</f>
        <v/>
      </c>
    </row>
    <row r="14">
      <c r="A14">
        <f>Inputs!B2+12</f>
        <v/>
      </c>
      <c r="B14" t="inlineStr">
        <is>
          <t>01/01/2038</t>
        </is>
      </c>
      <c r="C14">
        <f>Inputs!B3+12</f>
        <v/>
      </c>
      <c r="D14">
        <f>MAX(Inputs!B8-(12*35000), 0)</f>
        <v/>
      </c>
      <c r="E14">
        <f>Inputs!B7*0.8</f>
        <v/>
      </c>
      <c r="F14">
        <f>12*30000</f>
        <v/>
      </c>
      <c r="G14">
        <f>800000+(12*45000)</f>
        <v/>
      </c>
      <c r="H14">
        <f>((Inputs!B7*1.03^12) + (1700000*1.03^12) + (12*30000) + (800000+(12*45000))) - (MAX(Inputs!B8-(12*35000), 0) + (Inputs!B7*0.8))</f>
        <v/>
      </c>
    </row>
    <row r="15">
      <c r="A15">
        <f>Inputs!B2+13</f>
        <v/>
      </c>
      <c r="B15" t="inlineStr">
        <is>
          <t>01/01/2039</t>
        </is>
      </c>
      <c r="C15">
        <f>Inputs!B3+13</f>
        <v/>
      </c>
      <c r="D15">
        <f>MAX(Inputs!B8-(13*35000), 0)</f>
        <v/>
      </c>
      <c r="E15">
        <f>Inputs!B7*0.8</f>
        <v/>
      </c>
      <c r="F15">
        <f>13*30000</f>
        <v/>
      </c>
      <c r="G15">
        <f>800000+(13*45000)</f>
        <v/>
      </c>
      <c r="H15">
        <f>((Inputs!B7*1.03^13) + (1700000*1.03^13) + (13*30000) + (800000+(13*45000))) - (MAX(Inputs!B8-(13*35000), 0) + (Inputs!B7*0.8))</f>
        <v/>
      </c>
    </row>
    <row r="16">
      <c r="A16">
        <f>Inputs!B2+14</f>
        <v/>
      </c>
      <c r="B16" t="inlineStr">
        <is>
          <t>01/01/2040</t>
        </is>
      </c>
      <c r="C16">
        <f>Inputs!B3+14</f>
        <v/>
      </c>
      <c r="D16">
        <f>MAX(Inputs!B8-(14*35000), 0)</f>
        <v/>
      </c>
      <c r="E16">
        <f>Inputs!B7*0.8</f>
        <v/>
      </c>
      <c r="F16">
        <f>14*30000</f>
        <v/>
      </c>
      <c r="G16">
        <f>800000+(14*45000)</f>
        <v/>
      </c>
      <c r="H16">
        <f>((Inputs!B7*1.03^14) + (1700000*1.03^14) + (14*30000) + (800000+(14*45000))) - (MAX(Inputs!B8-(14*35000), 0) + (Inputs!B7*0.8))</f>
        <v/>
      </c>
    </row>
    <row r="17">
      <c r="A17">
        <f>Inputs!B2+15</f>
        <v/>
      </c>
      <c r="B17" t="inlineStr">
        <is>
          <t>01/01/2041</t>
        </is>
      </c>
      <c r="C17">
        <f>Inputs!B3+15</f>
        <v/>
      </c>
      <c r="D17">
        <f>MAX(Inputs!B8-(15*35000), 0)</f>
        <v/>
      </c>
      <c r="E17">
        <f>Inputs!B7*0.8</f>
        <v/>
      </c>
      <c r="F17">
        <f>15*30000</f>
        <v/>
      </c>
      <c r="G17">
        <f>800000+(15*45000)</f>
        <v/>
      </c>
      <c r="H17">
        <f>((Inputs!B7*1.03^15) + (1700000*1.03^15) + (15*30000) + (800000+(15*45000))) - (MAX(Inputs!B8-(15*35000), 0) + (Inputs!B7*0.8))</f>
        <v/>
      </c>
    </row>
    <row r="18">
      <c r="A18">
        <f>Inputs!B2+16</f>
        <v/>
      </c>
      <c r="B18" t="inlineStr">
        <is>
          <t>01/01/2042</t>
        </is>
      </c>
      <c r="C18">
        <f>Inputs!B3+16</f>
        <v/>
      </c>
      <c r="D18">
        <f>MAX(Inputs!B8-(16*35000), 0)</f>
        <v/>
      </c>
      <c r="E18">
        <f>Inputs!B7*0.8</f>
        <v/>
      </c>
      <c r="F18">
        <f>16*30000</f>
        <v/>
      </c>
      <c r="G18">
        <f>800000+(16*45000)</f>
        <v/>
      </c>
      <c r="H18">
        <f>((Inputs!B7*1.03^16) + (1700000*1.03^16) + (16*30000) + (800000+(16*45000))) - (MAX(Inputs!B8-(16*35000), 0) + (Inputs!B7*0.8))</f>
        <v/>
      </c>
    </row>
    <row r="19">
      <c r="A19">
        <f>Inputs!B2+17</f>
        <v/>
      </c>
      <c r="B19" t="inlineStr">
        <is>
          <t>01/01/2043</t>
        </is>
      </c>
      <c r="C19">
        <f>Inputs!B3+17</f>
        <v/>
      </c>
      <c r="D19">
        <f>MAX(Inputs!B8-(17*35000), 0)</f>
        <v/>
      </c>
      <c r="E19">
        <f>Inputs!B7*0.8</f>
        <v/>
      </c>
      <c r="F19">
        <f>17*30000</f>
        <v/>
      </c>
      <c r="G19">
        <f>800000+(17*45000)</f>
        <v/>
      </c>
      <c r="H19">
        <f>((Inputs!B7*1.03^17) + (1700000*1.03^17) + (17*30000) + (800000+(17*45000))) - (MAX(Inputs!B8-(17*35000), 0) + (Inputs!B7*0.8))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2026-06-27T04:24:30Z</dcterms:created>
  <dcterms:modified xmlns:dcterms="http://purl.org/dc/terms/" xmlns:xsi="http://www.w3.org/2001/XMLSchema-instance" xsi:type="dcterms:W3CDTF">2026-06-27T04:24:30Z</dcterms:modified>
</cp:coreProperties>
</file>